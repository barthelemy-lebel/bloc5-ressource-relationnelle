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\\dgdata\Direction des études$\Pédagogie_Ressources\Projets collaboratifs\CDA\Evaluation - INFCDAAL3\"/>
    </mc:Choice>
  </mc:AlternateContent>
  <xr:revisionPtr revIDLastSave="0" documentId="11_E468702D09EBCF308D60F138B43DFEFF191CA92D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Grille à points" sheetId="1" r:id="rId1"/>
  </sheet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H53" i="1"/>
  <c r="E53" i="1"/>
  <c r="D53" i="1" l="1"/>
  <c r="H4" i="1" l="1"/>
  <c r="H6" i="1" l="1"/>
  <c r="E17" i="1"/>
  <c r="H17" i="1" s="1"/>
  <c r="E16" i="1"/>
  <c r="H16" i="1" s="1"/>
  <c r="E15" i="1"/>
  <c r="H15" i="1" s="1"/>
  <c r="E14" i="1"/>
  <c r="H14" i="1" s="1"/>
  <c r="E13" i="1"/>
  <c r="H13" i="1" s="1"/>
  <c r="H12" i="1"/>
  <c r="C55" i="1" l="1"/>
  <c r="D55" i="1"/>
  <c r="H55" i="1"/>
  <c r="F55" i="1"/>
</calcChain>
</file>

<file path=xl/sharedStrings.xml><?xml version="1.0" encoding="utf-8"?>
<sst xmlns="http://schemas.openxmlformats.org/spreadsheetml/2006/main" count="49" uniqueCount="49">
  <si>
    <t>Référence bloc de compétences :</t>
  </si>
  <si>
    <t>INFCDAAL3</t>
  </si>
  <si>
    <t>Nom bloc de compétences :</t>
  </si>
  <si>
    <t>Déployer et sécuriser les applications informatiques</t>
  </si>
  <si>
    <t>Promotion :</t>
  </si>
  <si>
    <t>Date :</t>
  </si>
  <si>
    <t>Nom-Prénom</t>
  </si>
  <si>
    <t>Note collective</t>
  </si>
  <si>
    <t>Note* finale</t>
  </si>
  <si>
    <t>Candidat 1</t>
  </si>
  <si>
    <t>Candidat 2</t>
  </si>
  <si>
    <t>Candidat 3</t>
  </si>
  <si>
    <t>Candidat 4</t>
  </si>
  <si>
    <t>Candidat 5</t>
  </si>
  <si>
    <t>Candidat 6</t>
  </si>
  <si>
    <t>*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</si>
  <si>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</si>
  <si>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</si>
  <si>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</si>
  <si>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D : Non acquis : les objectifs définis ne sont pas atteints - écarts critiques constatés</t>
  </si>
  <si>
    <t>Signature ?</t>
  </si>
  <si>
    <t>Evaluateur 1</t>
  </si>
  <si>
    <t>Evaluateur 2</t>
  </si>
  <si>
    <t>Evaluateur 3</t>
  </si>
  <si>
    <t>Commentaires :</t>
  </si>
  <si>
    <t>NOTATION DU TRAVAIL COLLECTIF</t>
  </si>
  <si>
    <t>Thèmes</t>
  </si>
  <si>
    <t>Critères</t>
  </si>
  <si>
    <t>Points à attribuer</t>
  </si>
  <si>
    <t>Points obtenus</t>
  </si>
  <si>
    <t>Commentaires/Argumentations</t>
  </si>
  <si>
    <t>Déploiement de l'application</t>
  </si>
  <si>
    <t>Un environnement de déploiement est correctement configuré et mis en place. Il est cohérent avec l’application développée et permet d’automatiser le processus de déploiement.</t>
  </si>
  <si>
    <t>Le plan de déploiement présenté comprend l’ensemble des informations et des étapes clés nécessaires ainsi que les ressources techniques affectées à chaque tâche. Il est cohérent avec le contexte, les contrainte et les ressources disponibles.</t>
  </si>
  <si>
    <t>Maintenance</t>
  </si>
  <si>
    <t>Un outil de gestion des versions du logiciel est proposé et pertinent par rapport au contexte.</t>
  </si>
  <si>
    <t>Un outil de gestion des évolutions du logiciel est proposé et pertinent par rapport au contexte. Il permet à l’équipe de production de gérer les incidents et de faire évoluer la solution logicielle</t>
  </si>
  <si>
    <t>Sécurité</t>
  </si>
  <si>
    <t>Les risques de sécurité sont correctement identifiés et leur traitement est conforme à la réglementation RGPD.</t>
  </si>
  <si>
    <t>Les bonnes pratiques de développement sont correctement appliquées (qualité du code, commentaire du code, …).</t>
  </si>
  <si>
    <t>Le plan de sécurisation est complet (comprend tous les éléments de sécurité : prévention des risques, chiffrement) et pertinent (adapté à la demande)</t>
  </si>
  <si>
    <t>Organisation</t>
  </si>
  <si>
    <t>Les livrables ont été rendus dans les temps</t>
  </si>
  <si>
    <t>Prestation orale</t>
  </si>
  <si>
    <t>L'organisation du groupe a été efficace et a contribué à la réussite du projet</t>
  </si>
  <si>
    <t>La répartition du temps de parole est équitable</t>
  </si>
  <si>
    <t>Total :</t>
  </si>
  <si>
    <t>Note (lettre) collective :</t>
  </si>
  <si>
    <t>Conversion lettre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</si>
</sst>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right"/>
    </xf>
    <xf numFmtId="0" fontId="8" fillId="0" borderId="1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5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0" xfId="0" applyFont="1" applyAlignment="1">
      <alignment wrapText="1"/>
    </xf>
    <xf numFmtId="0" fontId="1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38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2" fillId="0" borderId="41" xfId="0" applyFont="1" applyBorder="1" applyAlignment="1">
      <alignment horizontal="center" vertical="top"/>
    </xf>
    <xf numFmtId="0" fontId="11" fillId="0" borderId="0" xfId="0" applyFont="1" applyAlignment="1">
      <alignment horizontal="right" vertical="center" wrapText="1"/>
    </xf>
    <xf numFmtId="0" fontId="11" fillId="0" borderId="38" xfId="0" applyFont="1" applyBorder="1" applyAlignment="1">
      <alignment horizontal="right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showGridLines="0" tabSelected="1" zoomScale="115" zoomScaleNormal="115" zoomScalePageLayoutView="130" workbookViewId="0">
      <selection activeCell="A3" sqref="A3"/>
    </sheetView>
  </sheetViews>
  <sheetFormatPr defaultColWidth="11.42578125" defaultRowHeight="14.45"/>
  <cols>
    <col min="1" max="1" width="24.28515625" bestFit="1" customWidth="1"/>
    <col min="2" max="2" width="11.42578125" customWidth="1"/>
    <col min="3" max="3" width="16.7109375" customWidth="1"/>
    <col min="4" max="5" width="8.7109375" customWidth="1"/>
    <col min="6" max="6" width="9.5703125" customWidth="1"/>
    <col min="7" max="7" width="8.7109375" customWidth="1"/>
    <col min="8" max="8" width="16.7109375" customWidth="1"/>
  </cols>
  <sheetData>
    <row r="2" spans="1:8" ht="10.15" customHeight="1"/>
    <row r="3" spans="1:8" ht="15" thickBot="1"/>
    <row r="4" spans="1:8" s="22" customFormat="1" ht="30.75" customHeight="1" thickBot="1">
      <c r="A4" s="74" t="s">
        <v>0</v>
      </c>
      <c r="B4" s="75"/>
      <c r="C4" s="47" t="s">
        <v>1</v>
      </c>
      <c r="D4" s="48"/>
      <c r="E4" s="48"/>
      <c r="F4" s="48"/>
      <c r="G4" s="49"/>
      <c r="H4" s="40" t="str">
        <f ca="1">RIGHT(MID(CELL("nomfichier",A1),FIND("[",CELL("nomfichier",A1))+1,FIND("]", CELL("nomfichier",A1))-FIND("[",CELL("nomfichier",A1))-1),(LEN(MID(CELL("nomfichier",A1),FIND("[",CELL("nomfichier",A1))+1,FIND("]", CELL("nomfichier",A1))-FIND("[",CELL("nomfichier",A1))-1))-SEARCH("-",MID(CELL("nomfichier",A1),FIND("[",CELL("nomfichier",A1))+1,FIND("]", CELL("nomfichier",A1))-FIND("[",CELL("nomfichier",A1))-1))))</f>
        <v xml:space="preserve"> INFCDAAL3 - V1.xlsx</v>
      </c>
    </row>
    <row r="5" spans="1:8" s="22" customFormat="1" ht="10.15" customHeight="1" thickBot="1">
      <c r="B5" s="23"/>
      <c r="C5" s="35"/>
      <c r="D5" s="35"/>
      <c r="E5" s="35"/>
      <c r="F5" s="35"/>
      <c r="G5" s="35"/>
      <c r="H5" s="41"/>
    </row>
    <row r="6" spans="1:8" ht="34.5" customHeight="1" thickBot="1">
      <c r="A6" s="74" t="s">
        <v>2</v>
      </c>
      <c r="B6" s="75"/>
      <c r="C6" s="50" t="s">
        <v>3</v>
      </c>
      <c r="D6" s="51"/>
      <c r="E6" s="51"/>
      <c r="F6" s="51"/>
      <c r="G6" s="52"/>
      <c r="H6" s="40" t="str">
        <f ca="1">RIGHT(H4,(LEN(H4)-SEARCH("-",H4)-1))</f>
        <v>V1.xlsx</v>
      </c>
    </row>
    <row r="8" spans="1:8" ht="15" thickBot="1"/>
    <row r="9" spans="1:8" ht="24" customHeight="1" thickBot="1">
      <c r="A9" s="34" t="s">
        <v>4</v>
      </c>
      <c r="B9" s="76"/>
      <c r="C9" s="77"/>
      <c r="E9" s="33" t="s">
        <v>5</v>
      </c>
      <c r="F9" s="76"/>
      <c r="G9" s="77"/>
    </row>
    <row r="10" spans="1:8" ht="15" thickBot="1"/>
    <row r="11" spans="1:8" ht="24.6" thickBot="1">
      <c r="A11" s="16"/>
      <c r="B11" s="91" t="s">
        <v>6</v>
      </c>
      <c r="C11" s="92"/>
      <c r="D11" s="93"/>
      <c r="E11" s="13" t="s">
        <v>7</v>
      </c>
      <c r="F11" s="42"/>
      <c r="H11" s="25" t="s">
        <v>8</v>
      </c>
    </row>
    <row r="12" spans="1:8" s="4" customFormat="1" ht="19.149999999999999" customHeight="1">
      <c r="A12" s="7" t="s">
        <v>9</v>
      </c>
      <c r="B12" s="56"/>
      <c r="C12" s="56"/>
      <c r="D12" s="56"/>
      <c r="E12" s="14" t="str">
        <f>IF(B12="","",$H$54)</f>
        <v/>
      </c>
      <c r="F12" s="19"/>
      <c r="G12" s="24"/>
      <c r="H12" s="38" t="str">
        <f t="shared" ref="H12:H17" si="0">E12</f>
        <v/>
      </c>
    </row>
    <row r="13" spans="1:8" s="4" customFormat="1" ht="19.149999999999999" customHeight="1">
      <c r="A13" s="7" t="s">
        <v>10</v>
      </c>
      <c r="B13" s="56"/>
      <c r="C13" s="56"/>
      <c r="D13" s="56"/>
      <c r="E13" s="14" t="str">
        <f t="shared" ref="E13:E17" si="1">IF(B13="","",H36)</f>
        <v/>
      </c>
      <c r="F13" s="19"/>
      <c r="G13" s="24"/>
      <c r="H13" s="26" t="str">
        <f t="shared" si="0"/>
        <v/>
      </c>
    </row>
    <row r="14" spans="1:8" s="4" customFormat="1" ht="19.149999999999999" customHeight="1">
      <c r="A14" s="7" t="s">
        <v>11</v>
      </c>
      <c r="B14" s="56"/>
      <c r="C14" s="56"/>
      <c r="D14" s="56"/>
      <c r="E14" s="14" t="str">
        <f t="shared" si="1"/>
        <v/>
      </c>
      <c r="F14" s="19"/>
      <c r="G14" s="24"/>
      <c r="H14" s="26" t="str">
        <f t="shared" si="0"/>
        <v/>
      </c>
    </row>
    <row r="15" spans="1:8" s="4" customFormat="1" ht="19.149999999999999" customHeight="1">
      <c r="A15" s="7" t="s">
        <v>12</v>
      </c>
      <c r="B15" s="56"/>
      <c r="C15" s="56"/>
      <c r="D15" s="56"/>
      <c r="E15" s="14" t="str">
        <f t="shared" si="1"/>
        <v/>
      </c>
      <c r="F15" s="19"/>
      <c r="G15" s="24"/>
      <c r="H15" s="26" t="str">
        <f t="shared" si="0"/>
        <v/>
      </c>
    </row>
    <row r="16" spans="1:8" s="4" customFormat="1" ht="19.149999999999999" customHeight="1">
      <c r="A16" s="7" t="s">
        <v>13</v>
      </c>
      <c r="B16" s="56"/>
      <c r="C16" s="56"/>
      <c r="D16" s="56"/>
      <c r="E16" s="14" t="str">
        <f t="shared" si="1"/>
        <v/>
      </c>
      <c r="F16" s="19"/>
      <c r="G16" s="24"/>
      <c r="H16" s="26" t="str">
        <f t="shared" si="0"/>
        <v/>
      </c>
    </row>
    <row r="17" spans="1:8" s="4" customFormat="1" ht="19.149999999999999" customHeight="1" thickBot="1">
      <c r="A17" s="8" t="s">
        <v>14</v>
      </c>
      <c r="B17" s="66"/>
      <c r="C17" s="66"/>
      <c r="D17" s="66"/>
      <c r="E17" s="15" t="str">
        <f t="shared" si="1"/>
        <v/>
      </c>
      <c r="F17" s="19"/>
      <c r="G17" s="24"/>
      <c r="H17" s="27" t="str">
        <f t="shared" si="0"/>
        <v/>
      </c>
    </row>
    <row r="18" spans="1:8" s="4" customFormat="1" ht="19.149999999999999" customHeight="1">
      <c r="A18" s="17"/>
      <c r="B18" s="18"/>
      <c r="C18" s="18"/>
      <c r="D18" s="18"/>
      <c r="E18" s="19"/>
      <c r="F18" s="19"/>
      <c r="G18" s="24"/>
      <c r="H18" s="19"/>
    </row>
    <row r="19" spans="1:8" s="4" customFormat="1" ht="15" customHeight="1">
      <c r="A19" s="37" t="s">
        <v>15</v>
      </c>
      <c r="B19" s="36" t="s">
        <v>16</v>
      </c>
      <c r="D19" s="18"/>
      <c r="E19" s="19"/>
      <c r="F19" s="19"/>
      <c r="G19" s="24"/>
      <c r="H19" s="19"/>
    </row>
    <row r="20" spans="1:8" s="4" customFormat="1" ht="15" customHeight="1">
      <c r="A20" s="17"/>
      <c r="B20" s="36" t="s">
        <v>17</v>
      </c>
      <c r="D20" s="18"/>
      <c r="E20" s="19"/>
      <c r="F20" s="19"/>
      <c r="G20" s="24"/>
      <c r="H20" s="19"/>
    </row>
    <row r="21" spans="1:8" s="4" customFormat="1" ht="15" customHeight="1">
      <c r="A21" s="17"/>
      <c r="B21" s="36" t="s">
        <v>18</v>
      </c>
      <c r="D21" s="18"/>
      <c r="E21" s="19"/>
      <c r="F21" s="19"/>
      <c r="G21" s="24"/>
      <c r="H21" s="19"/>
    </row>
    <row r="22" spans="1:8" s="4" customFormat="1" ht="15" customHeight="1">
      <c r="A22" s="17"/>
      <c r="B22" s="36" t="s">
        <v>19</v>
      </c>
      <c r="D22" s="18"/>
      <c r="E22" s="19"/>
      <c r="F22" s="19"/>
      <c r="G22" s="24"/>
      <c r="H22" s="19"/>
    </row>
    <row r="23" spans="1:8" s="4" customFormat="1" ht="19.149999999999999" customHeight="1" thickBot="1">
      <c r="A23" s="17"/>
      <c r="B23" s="18"/>
      <c r="C23" s="18"/>
      <c r="D23" s="18"/>
      <c r="E23" s="19"/>
      <c r="F23" s="19"/>
      <c r="G23" s="24"/>
      <c r="H23" s="19"/>
    </row>
    <row r="24" spans="1:8" ht="15" thickBot="1">
      <c r="A24" s="3"/>
      <c r="B24" s="3"/>
      <c r="E24" s="57" t="s">
        <v>20</v>
      </c>
      <c r="F24" s="58"/>
      <c r="G24" s="59"/>
    </row>
    <row r="25" spans="1:8" ht="37.15" customHeight="1">
      <c r="A25" s="6" t="s">
        <v>21</v>
      </c>
      <c r="B25" s="61"/>
      <c r="C25" s="61"/>
      <c r="D25" s="91"/>
      <c r="E25" s="60"/>
      <c r="F25" s="61"/>
      <c r="G25" s="62"/>
      <c r="H25" s="17"/>
    </row>
    <row r="26" spans="1:8" ht="37.15" customHeight="1">
      <c r="A26" s="7" t="s">
        <v>22</v>
      </c>
      <c r="B26" s="56"/>
      <c r="C26" s="56"/>
      <c r="D26" s="94"/>
      <c r="E26" s="63"/>
      <c r="F26" s="56"/>
      <c r="G26" s="64"/>
      <c r="H26" s="17"/>
    </row>
    <row r="27" spans="1:8" ht="37.15" customHeight="1" thickBot="1">
      <c r="A27" s="8" t="s">
        <v>23</v>
      </c>
      <c r="B27" s="66"/>
      <c r="C27" s="66"/>
      <c r="D27" s="95"/>
      <c r="E27" s="65"/>
      <c r="F27" s="66"/>
      <c r="G27" s="67"/>
      <c r="H27" s="17"/>
    </row>
    <row r="28" spans="1:8" ht="18" customHeight="1" thickBot="1">
      <c r="A28" s="17"/>
      <c r="B28" s="18"/>
      <c r="C28" s="18"/>
      <c r="D28" s="18"/>
      <c r="E28" s="17"/>
      <c r="F28" s="17"/>
      <c r="G28" s="17"/>
      <c r="H28" s="17"/>
    </row>
    <row r="29" spans="1:8" ht="21" customHeight="1">
      <c r="A29" s="28" t="s">
        <v>24</v>
      </c>
      <c r="B29" s="29"/>
      <c r="C29" s="29"/>
      <c r="D29" s="29"/>
      <c r="E29" s="29"/>
      <c r="F29" s="29"/>
      <c r="G29" s="29"/>
      <c r="H29" s="30"/>
    </row>
    <row r="30" spans="1:8" ht="16.899999999999999" customHeight="1">
      <c r="A30" s="68"/>
      <c r="B30" s="69"/>
      <c r="C30" s="69"/>
      <c r="D30" s="69"/>
      <c r="E30" s="69"/>
      <c r="F30" s="69"/>
      <c r="G30" s="69"/>
      <c r="H30" s="70"/>
    </row>
    <row r="31" spans="1:8" ht="16.899999999999999" customHeight="1">
      <c r="A31" s="68"/>
      <c r="B31" s="69"/>
      <c r="C31" s="69"/>
      <c r="D31" s="69"/>
      <c r="E31" s="69"/>
      <c r="F31" s="69"/>
      <c r="G31" s="69"/>
      <c r="H31" s="70"/>
    </row>
    <row r="32" spans="1:8" ht="16.899999999999999" customHeight="1">
      <c r="A32" s="68"/>
      <c r="B32" s="69"/>
      <c r="C32" s="69"/>
      <c r="D32" s="69"/>
      <c r="E32" s="69"/>
      <c r="F32" s="69"/>
      <c r="G32" s="69"/>
      <c r="H32" s="70"/>
    </row>
    <row r="33" spans="1:8" ht="16.899999999999999" customHeight="1">
      <c r="A33" s="68"/>
      <c r="B33" s="69"/>
      <c r="C33" s="69"/>
      <c r="D33" s="69"/>
      <c r="E33" s="69"/>
      <c r="F33" s="69"/>
      <c r="G33" s="69"/>
      <c r="H33" s="70"/>
    </row>
    <row r="34" spans="1:8" ht="16.899999999999999" customHeight="1">
      <c r="A34" s="68"/>
      <c r="B34" s="69"/>
      <c r="C34" s="69"/>
      <c r="D34" s="69"/>
      <c r="E34" s="69"/>
      <c r="F34" s="69"/>
      <c r="G34" s="69"/>
      <c r="H34" s="70"/>
    </row>
    <row r="35" spans="1:8" ht="16.899999999999999" customHeight="1" thickBot="1">
      <c r="A35" s="71"/>
      <c r="B35" s="72"/>
      <c r="C35" s="72"/>
      <c r="D35" s="72"/>
      <c r="E35" s="72"/>
      <c r="F35" s="72"/>
      <c r="G35" s="72"/>
      <c r="H35" s="73"/>
    </row>
    <row r="36" spans="1:8" ht="16.899999999999999" customHeight="1">
      <c r="A36" s="31"/>
      <c r="B36" s="31"/>
      <c r="C36" s="31"/>
      <c r="D36" s="31"/>
      <c r="E36" s="31"/>
      <c r="F36" s="31"/>
      <c r="G36" s="31"/>
      <c r="H36" s="31"/>
    </row>
    <row r="37" spans="1:8" ht="16.899999999999999" customHeight="1">
      <c r="A37" s="31"/>
      <c r="B37" s="31"/>
      <c r="C37" s="31"/>
      <c r="D37" s="31"/>
      <c r="E37" s="31"/>
      <c r="F37" s="31"/>
      <c r="G37" s="31"/>
      <c r="H37" s="31"/>
    </row>
    <row r="38" spans="1:8" ht="16.899999999999999" customHeight="1">
      <c r="A38" s="31"/>
      <c r="B38" s="31"/>
      <c r="C38" s="31"/>
      <c r="D38" s="31"/>
      <c r="E38" s="31"/>
      <c r="F38" s="31"/>
      <c r="G38" s="31"/>
      <c r="H38" s="31"/>
    </row>
    <row r="39" spans="1:8" s="4" customFormat="1" ht="12.6" customHeight="1" thickBot="1">
      <c r="A39" s="17"/>
      <c r="B39" s="18"/>
      <c r="C39" s="18"/>
      <c r="D39" s="18"/>
      <c r="E39" s="19"/>
      <c r="F39" s="19"/>
      <c r="G39" s="19"/>
    </row>
    <row r="40" spans="1:8" ht="15" thickBot="1">
      <c r="A40" s="96" t="s">
        <v>25</v>
      </c>
      <c r="B40" s="97"/>
      <c r="C40" s="97"/>
      <c r="D40" s="97"/>
      <c r="E40" s="97"/>
      <c r="F40" s="97"/>
      <c r="G40" s="97"/>
      <c r="H40" s="98"/>
    </row>
    <row r="41" spans="1:8" ht="15" thickBot="1"/>
    <row r="42" spans="1:8" ht="21" thickBot="1">
      <c r="A42" s="1" t="s">
        <v>26</v>
      </c>
      <c r="B42" s="81" t="s">
        <v>27</v>
      </c>
      <c r="C42" s="80"/>
      <c r="D42" s="21" t="s">
        <v>28</v>
      </c>
      <c r="E42" s="21" t="s">
        <v>29</v>
      </c>
      <c r="F42" s="78" t="s">
        <v>30</v>
      </c>
      <c r="G42" s="78"/>
      <c r="H42" s="88"/>
    </row>
    <row r="43" spans="1:8" ht="87" customHeight="1">
      <c r="A43" s="99" t="s">
        <v>31</v>
      </c>
      <c r="B43" s="86" t="s">
        <v>32</v>
      </c>
      <c r="C43" s="87"/>
      <c r="D43" s="14">
        <v>3</v>
      </c>
      <c r="E43" s="14"/>
      <c r="F43" s="43"/>
      <c r="G43" s="44"/>
      <c r="H43" s="45"/>
    </row>
    <row r="44" spans="1:8" ht="108" customHeight="1">
      <c r="A44" s="100"/>
      <c r="B44" s="86" t="s">
        <v>33</v>
      </c>
      <c r="C44" s="87"/>
      <c r="D44" s="14">
        <v>3</v>
      </c>
      <c r="E44" s="14"/>
      <c r="F44" s="43"/>
      <c r="G44" s="44"/>
      <c r="H44" s="45"/>
    </row>
    <row r="45" spans="1:8" ht="53.45" customHeight="1">
      <c r="A45" s="101" t="s">
        <v>34</v>
      </c>
      <c r="B45" s="86" t="s">
        <v>35</v>
      </c>
      <c r="C45" s="87"/>
      <c r="D45" s="14">
        <v>2</v>
      </c>
      <c r="E45" s="14"/>
      <c r="F45" s="43"/>
      <c r="G45" s="44"/>
      <c r="H45" s="45"/>
    </row>
    <row r="46" spans="1:8" ht="84.6" customHeight="1">
      <c r="A46" s="100"/>
      <c r="B46" s="86" t="s">
        <v>36</v>
      </c>
      <c r="C46" s="87"/>
      <c r="D46" s="14">
        <v>2</v>
      </c>
      <c r="E46" s="14"/>
      <c r="F46" s="43"/>
      <c r="G46" s="44"/>
      <c r="H46" s="45"/>
    </row>
    <row r="47" spans="1:8" ht="53.45" customHeight="1">
      <c r="A47" s="101" t="s">
        <v>37</v>
      </c>
      <c r="B47" s="86" t="s">
        <v>38</v>
      </c>
      <c r="C47" s="87"/>
      <c r="D47" s="14">
        <v>2</v>
      </c>
      <c r="E47" s="14"/>
      <c r="F47" s="43"/>
      <c r="G47" s="44"/>
      <c r="H47" s="45"/>
    </row>
    <row r="48" spans="1:8" ht="53.45" customHeight="1">
      <c r="A48" s="102"/>
      <c r="B48" s="86" t="s">
        <v>39</v>
      </c>
      <c r="C48" s="87"/>
      <c r="D48" s="14">
        <v>2</v>
      </c>
      <c r="E48" s="14"/>
      <c r="F48" s="43"/>
      <c r="G48" s="44"/>
      <c r="H48" s="45"/>
    </row>
    <row r="49" spans="1:8" ht="72.75" customHeight="1">
      <c r="A49" s="100"/>
      <c r="B49" s="86" t="s">
        <v>40</v>
      </c>
      <c r="C49" s="87"/>
      <c r="D49" s="14">
        <v>3</v>
      </c>
      <c r="E49" s="14"/>
      <c r="F49" s="53"/>
      <c r="G49" s="54"/>
      <c r="H49" s="55"/>
    </row>
    <row r="50" spans="1:8" ht="39.6" customHeight="1">
      <c r="A50" s="46" t="s">
        <v>41</v>
      </c>
      <c r="B50" s="82" t="s">
        <v>42</v>
      </c>
      <c r="C50" s="83"/>
      <c r="D50" s="32">
        <v>1</v>
      </c>
      <c r="E50" s="32"/>
      <c r="F50" s="89"/>
      <c r="G50" s="89"/>
      <c r="H50" s="90"/>
    </row>
    <row r="51" spans="1:8" ht="39.6" customHeight="1">
      <c r="A51" s="84" t="s">
        <v>43</v>
      </c>
      <c r="B51" s="86" t="s">
        <v>44</v>
      </c>
      <c r="C51" s="87"/>
      <c r="D51" s="14">
        <v>1</v>
      </c>
      <c r="E51" s="14"/>
      <c r="F51" s="53"/>
      <c r="G51" s="54"/>
      <c r="H51" s="55"/>
    </row>
    <row r="52" spans="1:8" ht="39.6" customHeight="1" thickBot="1">
      <c r="A52" s="85"/>
      <c r="B52" s="86" t="s">
        <v>45</v>
      </c>
      <c r="C52" s="87"/>
      <c r="D52" s="14">
        <v>1</v>
      </c>
      <c r="E52" s="14"/>
      <c r="F52" s="53"/>
      <c r="G52" s="54"/>
      <c r="H52" s="55"/>
    </row>
    <row r="53" spans="1:8" ht="15" customHeight="1" thickBot="1">
      <c r="C53" s="9" t="s">
        <v>46</v>
      </c>
      <c r="D53" s="12">
        <f>IF(COUNTA(D43:D52)=0,"",SUM(D43:D52))</f>
        <v>20</v>
      </c>
      <c r="E53" s="11" t="str">
        <f>IF(COUNTA(E43:E52)=0,"",SUM(E43:E52))</f>
        <v/>
      </c>
      <c r="F53" s="10"/>
      <c r="G53" s="20" t="s">
        <v>47</v>
      </c>
      <c r="H53" s="39" t="str">
        <f>IF(E53="","",IF(E53&gt;=MROUND(16*D53/20,1),"A",IF(E53&gt;=MROUND(12*D53/20,1),"B",IF(E53&gt;=MROUND(8*D53/20,1),"C","D"))))</f>
        <v/>
      </c>
    </row>
    <row r="54" spans="1:8" ht="15" thickBot="1"/>
    <row r="55" spans="1:8" ht="29.45" thickBot="1">
      <c r="A55" s="79" t="s">
        <v>48</v>
      </c>
      <c r="B55" s="80"/>
      <c r="C55" s="2" t="str">
        <f>"De "&amp;MROUND(16*D53/20,1)&amp;" à "&amp; D53 &amp;""&amp; CHAR(10) &amp; " =  A"</f>
        <v>De 16 à 20
 =  A</v>
      </c>
      <c r="D55" s="78" t="str">
        <f>"De "&amp;MROUND(12*D53/20,1)&amp;" à "&amp; MROUND(16*D53/20,1)-0.01 &amp;""&amp;CHAR(10)&amp; " =  B"</f>
        <v>De 12 à 15,99
 =  B</v>
      </c>
      <c r="E55" s="78"/>
      <c r="F55" s="78" t="str">
        <f>"De "&amp;MROUND(8*D53/20,1)&amp;" à "&amp; MROUND(12*D53/20,1)-0.01 &amp;""&amp;CHAR(10)&amp; " =  C"</f>
        <v>De 8 à 11,99
 =  C</v>
      </c>
      <c r="G55" s="78"/>
      <c r="H55" s="5" t="str">
        <f>"De "&amp;0&amp;" à "&amp; MROUND(8*D53/20,1)-0.01 &amp;""&amp;CHAR(10)&amp; " =  D"</f>
        <v>De 0 à 7,99
 =  D</v>
      </c>
    </row>
  </sheetData>
  <mergeCells count="45">
    <mergeCell ref="B11:D11"/>
    <mergeCell ref="B9:C9"/>
    <mergeCell ref="B25:D25"/>
    <mergeCell ref="B26:D26"/>
    <mergeCell ref="D55:E55"/>
    <mergeCell ref="B27:D27"/>
    <mergeCell ref="A40:H40"/>
    <mergeCell ref="B16:D16"/>
    <mergeCell ref="B45:C45"/>
    <mergeCell ref="B46:C46"/>
    <mergeCell ref="B17:D17"/>
    <mergeCell ref="B47:C47"/>
    <mergeCell ref="B48:C48"/>
    <mergeCell ref="A43:A44"/>
    <mergeCell ref="A45:A46"/>
    <mergeCell ref="A47:A49"/>
    <mergeCell ref="F55:G55"/>
    <mergeCell ref="A55:B55"/>
    <mergeCell ref="B42:C42"/>
    <mergeCell ref="B50:C50"/>
    <mergeCell ref="A51:A52"/>
    <mergeCell ref="F49:H49"/>
    <mergeCell ref="B44:C44"/>
    <mergeCell ref="B51:C51"/>
    <mergeCell ref="B52:C52"/>
    <mergeCell ref="B43:C43"/>
    <mergeCell ref="B49:C49"/>
    <mergeCell ref="F42:H42"/>
    <mergeCell ref="F50:H50"/>
    <mergeCell ref="C4:G4"/>
    <mergeCell ref="C6:G6"/>
    <mergeCell ref="F51:H51"/>
    <mergeCell ref="F52:H52"/>
    <mergeCell ref="B12:D12"/>
    <mergeCell ref="B13:D13"/>
    <mergeCell ref="B14:D14"/>
    <mergeCell ref="B15:D15"/>
    <mergeCell ref="E24:G24"/>
    <mergeCell ref="E25:G25"/>
    <mergeCell ref="E26:G26"/>
    <mergeCell ref="E27:G27"/>
    <mergeCell ref="A30:H35"/>
    <mergeCell ref="A4:B4"/>
    <mergeCell ref="A6:B6"/>
    <mergeCell ref="F9:G9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&amp;12Projet collaboratif</oddHeader>
    <oddFooter>&amp;L&amp;F&amp;R&amp;P/&amp;N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392FAEFFC715459328D96698678B38" ma:contentTypeVersion="11" ma:contentTypeDescription="Crée un document." ma:contentTypeScope="" ma:versionID="910057a2a6b503d2650baee991cf9e92">
  <xsd:schema xmlns:xsd="http://www.w3.org/2001/XMLSchema" xmlns:xs="http://www.w3.org/2001/XMLSchema" xmlns:p="http://schemas.microsoft.com/office/2006/metadata/properties" xmlns:ns2="a7d9afa0-e9b1-4efe-8e10-35f2c48472f8" xmlns:ns3="31e3a1fb-f659-4d14-b4d7-ebad8e061424" targetNamespace="http://schemas.microsoft.com/office/2006/metadata/properties" ma:root="true" ma:fieldsID="cf3b2e0b8909fc1e130d2dc6af147aa5" ns2:_="" ns3:_="">
    <xsd:import namespace="a7d9afa0-e9b1-4efe-8e10-35f2c48472f8"/>
    <xsd:import namespace="31e3a1fb-f659-4d14-b4d7-ebad8e0614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9afa0-e9b1-4efe-8e10-35f2c48472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3a1fb-f659-4d14-b4d7-ebad8e0614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f1a324-1728-4a36-8941-064cf83fd8d7}" ma:internalName="TaxCatchAll" ma:showField="CatchAllData" ma:web="31e3a1fb-f659-4d14-b4d7-ebad8e0614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e3a1fb-f659-4d14-b4d7-ebad8e061424" xsi:nil="true"/>
    <lcf76f155ced4ddcb4097134ff3c332f xmlns="a7d9afa0-e9b1-4efe-8e10-35f2c48472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5046E0-EE3E-49ED-9671-453FCA82E76E}"/>
</file>

<file path=customXml/itemProps2.xml><?xml version="1.0" encoding="utf-8"?>
<ds:datastoreItem xmlns:ds="http://schemas.openxmlformats.org/officeDocument/2006/customXml" ds:itemID="{06841854-EBC3-4731-9E6E-C099C34CAF10}"/>
</file>

<file path=customXml/itemProps3.xml><?xml version="1.0" encoding="utf-8"?>
<ds:datastoreItem xmlns:ds="http://schemas.openxmlformats.org/officeDocument/2006/customXml" ds:itemID="{5BB1290F-2D51-4A93-910F-B931BC0AE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FACON Cédric</dc:creator>
  <cp:keywords/>
  <dc:description/>
  <cp:lastModifiedBy>JAUTEE NINO</cp:lastModifiedBy>
  <cp:revision/>
  <dcterms:created xsi:type="dcterms:W3CDTF">2020-02-01T09:20:16Z</dcterms:created>
  <dcterms:modified xsi:type="dcterms:W3CDTF">2026-05-18T11:21:01Z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0x01010071392FAEFFC715459328D96698678B38</vt:lpwstr>
  </property>
</Properties>
</file>